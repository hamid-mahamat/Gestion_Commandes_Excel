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20001_{9D897033-40B5-46CD-BC6E-0F72C0E269F7}" xr6:coauthVersionLast="47" xr6:coauthVersionMax="47" xr10:uidLastSave="{00000000-0000-0000-0000-000000000000}"/>
  <bookViews>
    <workbookView xWindow="-110" yWindow="-110" windowWidth="19420" windowHeight="10560" activeTab="1" xr2:uid="{00000000-000D-0000-FFFF-FFFF00000000}"/>
  </bookViews>
  <sheets>
    <sheet name="ACCUEIL" sheetId="1" r:id="rId1"/>
    <sheet name="DASHBOARD" sheetId="2" r:id="rId2"/>
    <sheet name="COMMANDES" sheetId="3" r:id="rId3"/>
    <sheet name="DETAILS_COMMANDES" sheetId="4" r:id="rId4"/>
    <sheet name="FOURNISSEURS" sheetId="5" r:id="rId5"/>
    <sheet name="ARTICLES" sheetId="6" r:id="rId6"/>
    <sheet name="MOUVEMENTS_STOCK" sheetId="7" r:id="rId7"/>
    <sheet name="LIVRAISONS" sheetId="8" r:id="rId8"/>
    <sheet name="PARAMETRES" sheetId="9" r:id="rId9"/>
  </sheets>
  <definedNames>
    <definedName name="_xlnm._FilterDatabase" localSheetId="5" hidden="1">ARTICLES!$A$4:$H$11</definedName>
    <definedName name="_xlnm._FilterDatabase" localSheetId="2" hidden="1">COMMANDES!$A$4:$H$8</definedName>
    <definedName name="_xlnm._FilterDatabase" localSheetId="3" hidden="1">DETAILS_COMMANDES!$A$4:$E$10</definedName>
    <definedName name="_xlnm._FilterDatabase" localSheetId="4" hidden="1">FOURNISSEURS!$A$4:$G$8</definedName>
    <definedName name="_xlnm._FilterDatabase" localSheetId="7" hidden="1">LIVRAISONS!$A$4:$G$7</definedName>
    <definedName name="_xlnm._FilterDatabase" localSheetId="6" hidden="1">MOUVEMENTS_STOCK!$A$4:$G$10</definedName>
    <definedName name="_xlnm._FilterDatabase" localSheetId="8" hidden="1">PARAMETRES!$A$4:$C$19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4" l="1"/>
  <c r="E10" i="4" s="1"/>
  <c r="D9" i="4"/>
  <c r="E9" i="4" s="1"/>
  <c r="D8" i="4"/>
  <c r="E8" i="4" s="1"/>
  <c r="D7" i="4"/>
  <c r="E7" i="4" s="1"/>
  <c r="D6" i="4"/>
  <c r="E6" i="4" s="1"/>
  <c r="D5" i="4"/>
  <c r="E5" i="4" s="1"/>
  <c r="I5" i="2" s="1"/>
  <c r="E13" i="2"/>
  <c r="B13" i="2"/>
  <c r="E12" i="2"/>
  <c r="B12" i="2"/>
  <c r="E11" i="2"/>
  <c r="B11" i="2"/>
  <c r="E10" i="2"/>
  <c r="B10" i="2"/>
  <c r="G5" i="2"/>
  <c r="E5" i="2"/>
  <c r="C5" i="2"/>
  <c r="A5" i="2"/>
</calcChain>
</file>

<file path=xl/sharedStrings.xml><?xml version="1.0" encoding="utf-8"?>
<sst xmlns="http://schemas.openxmlformats.org/spreadsheetml/2006/main" count="301" uniqueCount="169">
  <si>
    <t>GESTION COMMANDES &amp; LOGISTIQUE</t>
  </si>
  <si>
    <t>MENU PRINCIPAL</t>
  </si>
  <si>
    <t>TABLEAU DE BORD
Voir les indicateurs, les statuts et les graphiques.</t>
  </si>
  <si>
    <t>COMMANDES
Consulter et compléter le registre des commandes.</t>
  </si>
  <si>
    <t>FOURNISSEURS
Gérer les coordonnées et le statut des fournisseurs.</t>
  </si>
  <si>
    <t>ARTICLES &amp; PRIX
Consulter le catalogue des articles et les prix.</t>
  </si>
  <si>
    <t>MOUVEMENTS DE STOCK
Tracer les entrées et sorties de stock.</t>
  </si>
  <si>
    <t>LIVRAISONS
Suivre les réceptions et l'état des livraisons.</t>
  </si>
  <si>
    <t>DÉTAILS COMMANDES
Consulter les articles, quantités et montants par commande.</t>
  </si>
  <si>
    <t>PARAMÈTRES
Référentiel des statuts et consignes.</t>
  </si>
  <si>
    <t>TABLEAU DE BORD — GESTION DES COMMANDES</t>
  </si>
  <si>
    <t>← ACCUEIL</t>
  </si>
  <si>
    <t>COMMANDES ENREGISTRÉES</t>
  </si>
  <si>
    <t>COMMANDES EN COURS</t>
  </si>
  <si>
    <t>COMMANDES EN ATTENTE</t>
  </si>
  <si>
    <t>COMMANDES LIVRÉES</t>
  </si>
  <si>
    <t>VALEUR DES COMMANDES</t>
  </si>
  <si>
    <t>Statut</t>
  </si>
  <si>
    <t>Nombre</t>
  </si>
  <si>
    <t>Priorité</t>
  </si>
  <si>
    <t>En attente</t>
  </si>
  <si>
    <t>Basse</t>
  </si>
  <si>
    <t>En cours</t>
  </si>
  <si>
    <t>Normale</t>
  </si>
  <si>
    <t>Livrée</t>
  </si>
  <si>
    <t>Haute</t>
  </si>
  <si>
    <t>Annulée</t>
  </si>
  <si>
    <t>Urgente</t>
  </si>
  <si>
    <t>REGISTRE DES COMMANDES</t>
  </si>
  <si>
    <t>N° commande</t>
  </si>
  <si>
    <t>Date commande</t>
  </si>
  <si>
    <t>Service demandeur</t>
  </si>
  <si>
    <t>Code fournisseur</t>
  </si>
  <si>
    <t>Demandeur</t>
  </si>
  <si>
    <t>Observations</t>
  </si>
  <si>
    <t>CMD-2026-001</t>
  </si>
  <si>
    <t>2026-09-22</t>
  </si>
  <si>
    <t>Service Informatique</t>
  </si>
  <si>
    <t>FOU-002</t>
  </si>
  <si>
    <t>Hamid Mahamat</t>
  </si>
  <si>
    <t>Livraison partielle</t>
  </si>
  <si>
    <t>CMD-2026-002</t>
  </si>
  <si>
    <t>2026-09-24</t>
  </si>
  <si>
    <t>Administration</t>
  </si>
  <si>
    <t>FOU-004</t>
  </si>
  <si>
    <t>Réception complète</t>
  </si>
  <si>
    <t>CMD-2026-003</t>
  </si>
  <si>
    <t>2026-09-27</t>
  </si>
  <si>
    <t>Base Logistique</t>
  </si>
  <si>
    <t>FOU-001</t>
  </si>
  <si>
    <t>En attente de validation</t>
  </si>
  <si>
    <t>CMD-2026-004</t>
  </si>
  <si>
    <t>2026-09-30</t>
  </si>
  <si>
    <t>Service Terrain</t>
  </si>
  <si>
    <t>FOU-003</t>
  </si>
  <si>
    <t>Livraison prévue</t>
  </si>
  <si>
    <t>DÉTAIL DES COMMANDES</t>
  </si>
  <si>
    <t>Code article</t>
  </si>
  <si>
    <t>Quantité</t>
  </si>
  <si>
    <t>Prix unitaire (FCFA)</t>
  </si>
  <si>
    <t>Montant ligne (FCFA)</t>
  </si>
  <si>
    <t>ART-003</t>
  </si>
  <si>
    <t>ART-007</t>
  </si>
  <si>
    <t>ART-001</t>
  </si>
  <si>
    <t>ART-002</t>
  </si>
  <si>
    <t>ART-006</t>
  </si>
  <si>
    <t>ART-005</t>
  </si>
  <si>
    <t>RÉFÉRENTIEL FOURNISSEURS</t>
  </si>
  <si>
    <t>Nom fournisseur</t>
  </si>
  <si>
    <t>Contact</t>
  </si>
  <si>
    <t>Téléphone</t>
  </si>
  <si>
    <t>E-mail</t>
  </si>
  <si>
    <t>Ville</t>
  </si>
  <si>
    <t>Sahel Fournitures</t>
  </si>
  <si>
    <t>Moussa Hassan</t>
  </si>
  <si>
    <t>+235 66 10 20 30</t>
  </si>
  <si>
    <t>contact@sahel-fournitures.td</t>
  </si>
  <si>
    <t>N'Djamena</t>
  </si>
  <si>
    <t>Actif</t>
  </si>
  <si>
    <t>Techno Services Tchad</t>
  </si>
  <si>
    <t>Amina Mahamat</t>
  </si>
  <si>
    <t>+235 99 20 30 40</t>
  </si>
  <si>
    <t>ventes@technoservices.td</t>
  </si>
  <si>
    <t>Logistique du Lac</t>
  </si>
  <si>
    <t>Idriss Saleh</t>
  </si>
  <si>
    <t>+235 62 11 22 33</t>
  </si>
  <si>
    <t>info@loglac.td</t>
  </si>
  <si>
    <t>Moundou</t>
  </si>
  <si>
    <t>Bureau Plus</t>
  </si>
  <si>
    <t>Fatimé Ali</t>
  </si>
  <si>
    <t>+235 68 44 55 66</t>
  </si>
  <si>
    <t>commande@bureauplus.td</t>
  </si>
  <si>
    <t>CATALOGUE ARTICLES</t>
  </si>
  <si>
    <t>Désignation</t>
  </si>
  <si>
    <t>Catégorie</t>
  </si>
  <si>
    <t>Unité</t>
  </si>
  <si>
    <t>Stock initial</t>
  </si>
  <si>
    <t>Papier A4 80g</t>
  </si>
  <si>
    <t>Fournitures bureau</t>
  </si>
  <si>
    <t>Ramette</t>
  </si>
  <si>
    <t>Stylo bleu</t>
  </si>
  <si>
    <t>Ordinateur portable</t>
  </si>
  <si>
    <t>Informatique</t>
  </si>
  <si>
    <t>ART-004</t>
  </si>
  <si>
    <t>Toner imprimante</t>
  </si>
  <si>
    <t>Carton d'eau 1,5L</t>
  </si>
  <si>
    <t>Consommables</t>
  </si>
  <si>
    <t>Carton</t>
  </si>
  <si>
    <t>Savon liquide 5L</t>
  </si>
  <si>
    <t>Hygiène</t>
  </si>
  <si>
    <t>Bidon</t>
  </si>
  <si>
    <t>Clé USB 32 Go</t>
  </si>
  <si>
    <t>JOURNAL DES MOUVEMENTS DE STOCK</t>
  </si>
  <si>
    <t>N° mouvement</t>
  </si>
  <si>
    <t>Date</t>
  </si>
  <si>
    <t>Type mouvement</t>
  </si>
  <si>
    <t>Référence / motif</t>
  </si>
  <si>
    <t>Enregistré par</t>
  </si>
  <si>
    <t>MVT-001</t>
  </si>
  <si>
    <t>Entrée</t>
  </si>
  <si>
    <t>Réception initiale</t>
  </si>
  <si>
    <t>MVT-002</t>
  </si>
  <si>
    <t>Sortie</t>
  </si>
  <si>
    <t>MVT-003</t>
  </si>
  <si>
    <t>MVT-004</t>
  </si>
  <si>
    <t>2026-09-23</t>
  </si>
  <si>
    <t>MVT-005</t>
  </si>
  <si>
    <t>Réception fournisseur</t>
  </si>
  <si>
    <t>MVT-006</t>
  </si>
  <si>
    <t>SUIVI DES LIVRAISONS</t>
  </si>
  <si>
    <t>N° livraison</t>
  </si>
  <si>
    <t>Date prévue/réelle</t>
  </si>
  <si>
    <t>Fournisseur</t>
  </si>
  <si>
    <t>État livraison</t>
  </si>
  <si>
    <t>Réception contrôlée (1/0)</t>
  </si>
  <si>
    <t>Commentaires</t>
  </si>
  <si>
    <t>LIV-001</t>
  </si>
  <si>
    <t>2026-09-25</t>
  </si>
  <si>
    <t>Partielle</t>
  </si>
  <si>
    <t>Livraison des ordinateurs; clés USB restantes</t>
  </si>
  <si>
    <t>LIV-002</t>
  </si>
  <si>
    <t>2026-09-26</t>
  </si>
  <si>
    <t>Complète</t>
  </si>
  <si>
    <t>Réception contrôlée et conforme</t>
  </si>
  <si>
    <t>LIV-003</t>
  </si>
  <si>
    <t>2026-10-04</t>
  </si>
  <si>
    <t>Prévue</t>
  </si>
  <si>
    <t>Date prévisionnelle</t>
  </si>
  <si>
    <t>PARAMÈTRES DE L'APPLICATION</t>
  </si>
  <si>
    <t>Famille</t>
  </si>
  <si>
    <t>Valeur</t>
  </si>
  <si>
    <t>Description</t>
  </si>
  <si>
    <t>Statut commande</t>
  </si>
  <si>
    <t>Validation en attente</t>
  </si>
  <si>
    <t>Commande en traitement</t>
  </si>
  <si>
    <t>Réception terminée</t>
  </si>
  <si>
    <t>Commande annulée</t>
  </si>
  <si>
    <t>Traitement standard</t>
  </si>
  <si>
    <t>À traiter rapidement</t>
  </si>
  <si>
    <t>À traiter en priorité</t>
  </si>
  <si>
    <t>Mouvement stock</t>
  </si>
  <si>
    <t>Augmente le stock</t>
  </si>
  <si>
    <t>Diminue le stock</t>
  </si>
  <si>
    <t>Livraison</t>
  </si>
  <si>
    <t>Non réceptionnée</t>
  </si>
  <si>
    <t>Réception incomplète</t>
  </si>
  <si>
    <t>Retardée</t>
  </si>
  <si>
    <t>Livraison après la date attendue</t>
  </si>
  <si>
    <t>Livraison annulée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</si>
</sst>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CFA&quot;"/>
  </numFmts>
  <fonts count="13" x14ac:knownFonts="1">
    <font>
      <sz val="11"/>
      <color theme="1"/>
      <name val="Calibri"/>
      <family val="2"/>
      <scheme val="minor"/>
    </font>
    <font>
      <b/>
      <sz val="20"/>
      <color rgb="FFFFFFFF"/>
      <name val="Aptos Display"/>
      <family val="2"/>
    </font>
    <font>
      <i/>
      <sz val="10"/>
      <color rgb="FF5B6573"/>
      <name val="Aptos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22"/>
      <color rgb="FF17365D"/>
      <name val="Calibri"/>
      <family val="2"/>
    </font>
    <font>
      <i/>
      <sz val="11"/>
      <color rgb="FF17365D"/>
      <name val="Calibri"/>
      <family val="2"/>
    </font>
    <font>
      <b/>
      <sz val="24"/>
      <color rgb="FFFFFFFF"/>
      <name val="Aptos Display"/>
      <family val="2"/>
    </font>
    <font>
      <i/>
      <sz val="10"/>
      <color rgb="FF5B6573"/>
      <name val="Calibri"/>
      <family val="2"/>
    </font>
    <font>
      <b/>
      <sz val="13"/>
      <color rgb="FFFFFFFF"/>
      <name val="Calibri"/>
      <family val="2"/>
    </font>
    <font>
      <b/>
      <sz val="12"/>
      <color rgb="FF17365D"/>
      <name val="Calibri"/>
      <family val="2"/>
    </font>
    <font>
      <i/>
      <sz val="10"/>
      <color rgb="FF7F6000"/>
      <name val="Calibri"/>
      <family val="2"/>
    </font>
    <font>
      <b/>
      <u/>
      <sz val="11"/>
      <color rgb="FF0F6B7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6F9FC"/>
      </patternFill>
    </fill>
    <fill>
      <patternFill patternType="solid">
        <fgColor rgb="FFF3F6FA"/>
      </patternFill>
    </fill>
    <fill>
      <patternFill patternType="solid">
        <fgColor rgb="FF0F6B78"/>
      </patternFill>
    </fill>
    <fill>
      <patternFill patternType="solid">
        <fgColor rgb="FFD6A84F"/>
      </patternFill>
    </fill>
    <fill>
      <patternFill patternType="solid">
        <fgColor rgb="FF70AD47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4F7FA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6A84F"/>
      </bottom>
      <diagonal/>
    </border>
    <border>
      <left/>
      <right/>
      <top/>
      <bottom style="thin">
        <color rgb="FFD9E2F3"/>
      </bottom>
      <diagonal/>
    </border>
    <border>
      <left style="medium">
        <color rgb="FF0F6B78"/>
      </left>
      <right style="medium">
        <color rgb="FF0F6B78"/>
      </right>
      <top style="medium">
        <color rgb="FF0F6B78"/>
      </top>
      <bottom style="medium">
        <color rgb="FF0F6B7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2" fillId="0" borderId="0" xfId="0" applyFont="1" applyAlignment="1">
      <alignment horizontal="right"/>
    </xf>
    <xf numFmtId="0" fontId="3" fillId="3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64" fontId="0" fillId="4" borderId="2" xfId="0" applyNumberForma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4" fontId="0" fillId="4" borderId="2" xfId="0" applyNumberFormat="1" applyFill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/>
    <xf numFmtId="0" fontId="10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0" xfId="0" applyFont="1" applyFill="1" applyAlignment="1">
      <alignment vertical="center" wrapText="1"/>
    </xf>
    <xf numFmtId="0" fontId="9" fillId="6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  <xf numFmtId="0" fontId="0" fillId="3" borderId="0" xfId="0" applyFill="1"/>
    <xf numFmtId="0" fontId="4" fillId="8" borderId="0" xfId="0" applyFont="1" applyFill="1" applyAlignment="1">
      <alignment horizontal="center" vertical="center" wrapText="1"/>
    </xf>
    <xf numFmtId="0" fontId="0" fillId="8" borderId="0" xfId="0" applyFill="1"/>
    <xf numFmtId="0" fontId="1" fillId="2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0" fillId="7" borderId="0" xfId="0" applyFill="1"/>
    <xf numFmtId="0" fontId="4" fillId="2" borderId="0" xfId="0" applyFont="1" applyFill="1" applyAlignment="1">
      <alignment horizontal="center" vertical="center" wrapText="1"/>
    </xf>
    <xf numFmtId="0" fontId="0" fillId="2" borderId="0" xfId="0" applyFill="1"/>
    <xf numFmtId="0" fontId="6" fillId="9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center"/>
    </xf>
    <xf numFmtId="0" fontId="0" fillId="5" borderId="0" xfId="0" applyFill="1"/>
    <xf numFmtId="164" fontId="5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4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3"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fr-FR"/>
              <a:t>Commandes par statut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DASHBOARD!$B$9</c:f>
              <c:strCache>
                <c:ptCount val="1"/>
                <c:pt idx="0">
                  <c:v>Nombre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DASHBOARD!$A$10:$A$13</c:f>
              <c:strCache>
                <c:ptCount val="4"/>
                <c:pt idx="0">
                  <c:v>En attente</c:v>
                </c:pt>
                <c:pt idx="1">
                  <c:v>En cours</c:v>
                </c:pt>
                <c:pt idx="2">
                  <c:v>Livrée</c:v>
                </c:pt>
                <c:pt idx="3">
                  <c:v>Annulée</c:v>
                </c:pt>
              </c:strCache>
            </c:strRef>
          </c:cat>
          <c:val>
            <c:numRef>
              <c:f>DASHBOARD!$B$10:$B$13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A-410C-A4BF-32E62E174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Statut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Nombre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fr-FR"/>
              <a:t>Répartition par priorité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DASHBOARD!$E$9</c:f>
              <c:strCache>
                <c:ptCount val="1"/>
                <c:pt idx="0">
                  <c:v>Nombre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DASHBOARD!$D$10:$D$13</c:f>
              <c:strCache>
                <c:ptCount val="4"/>
                <c:pt idx="0">
                  <c:v>Basse</c:v>
                </c:pt>
                <c:pt idx="1">
                  <c:v>Normale</c:v>
                </c:pt>
                <c:pt idx="2">
                  <c:v>Haute</c:v>
                </c:pt>
                <c:pt idx="3">
                  <c:v>Urgente</c:v>
                </c:pt>
              </c:strCache>
            </c:strRef>
          </c:cat>
          <c:val>
            <c:numRef>
              <c:f>DASHBOARD!$E$10:$E$13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7-4072-B884-39CBC149FA4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15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showGridLines="0" zoomScale="90" workbookViewId="0">
      <pane ySplit="4" topLeftCell="A7" activePane="bottomLeft" state="frozen"/>
      <selection pane="bottomLeft" activeCell="E7" sqref="E7:H9"/>
    </sheetView>
  </sheetViews>
  <sheetFormatPr baseColWidth="10" defaultColWidth="8.7265625" defaultRowHeight="14.5" x14ac:dyDescent="0.35"/>
  <cols>
    <col min="1" max="8" width="18" customWidth="1"/>
  </cols>
  <sheetData>
    <row r="1" spans="1:8" ht="36" customHeight="1" x14ac:dyDescent="0.35">
      <c r="A1" s="20" t="s">
        <v>0</v>
      </c>
      <c r="B1" s="15"/>
      <c r="C1" s="15"/>
      <c r="D1" s="15"/>
      <c r="E1" s="15"/>
      <c r="F1" s="15"/>
      <c r="G1" s="15"/>
      <c r="H1" s="15"/>
    </row>
    <row r="2" spans="1:8" ht="22" customHeight="1" x14ac:dyDescent="0.35">
      <c r="A2" s="15"/>
      <c r="B2" s="15"/>
      <c r="C2" s="15"/>
      <c r="D2" s="15"/>
      <c r="E2" s="15"/>
      <c r="F2" s="15"/>
      <c r="G2" s="15"/>
      <c r="H2" s="15"/>
    </row>
    <row r="3" spans="1:8" x14ac:dyDescent="0.35">
      <c r="A3" s="14"/>
      <c r="B3" s="15"/>
      <c r="C3" s="15"/>
      <c r="D3" s="15"/>
      <c r="E3" s="15"/>
      <c r="F3" s="15"/>
      <c r="G3" s="15"/>
      <c r="H3" s="15"/>
    </row>
    <row r="5" spans="1:8" ht="17" x14ac:dyDescent="0.35">
      <c r="A5" s="19" t="s">
        <v>1</v>
      </c>
      <c r="B5" s="15"/>
      <c r="C5" s="15"/>
      <c r="D5" s="15"/>
      <c r="E5" s="15"/>
      <c r="F5" s="15"/>
      <c r="G5" s="15"/>
      <c r="H5" s="15"/>
    </row>
    <row r="7" spans="1:8" ht="24" customHeight="1" x14ac:dyDescent="0.35">
      <c r="A7" s="16" t="s">
        <v>2</v>
      </c>
      <c r="B7" s="15"/>
      <c r="C7" s="15"/>
      <c r="D7" s="15"/>
      <c r="E7" s="17" t="s">
        <v>3</v>
      </c>
      <c r="F7" s="15"/>
      <c r="G7" s="15"/>
      <c r="H7" s="15"/>
    </row>
    <row r="8" spans="1:8" ht="24" customHeight="1" x14ac:dyDescent="0.35">
      <c r="A8" s="15"/>
      <c r="B8" s="15"/>
      <c r="C8" s="15"/>
      <c r="D8" s="15"/>
      <c r="E8" s="15"/>
      <c r="F8" s="15"/>
      <c r="G8" s="15"/>
      <c r="H8" s="15"/>
    </row>
    <row r="9" spans="1:8" ht="24" customHeight="1" x14ac:dyDescent="0.35">
      <c r="A9" s="15"/>
      <c r="B9" s="15"/>
      <c r="C9" s="15"/>
      <c r="D9" s="15"/>
      <c r="E9" s="15"/>
      <c r="F9" s="15"/>
      <c r="G9" s="15"/>
      <c r="H9" s="15"/>
    </row>
    <row r="11" spans="1:8" ht="24" customHeight="1" x14ac:dyDescent="0.35">
      <c r="A11" s="16" t="s">
        <v>4</v>
      </c>
      <c r="B11" s="15"/>
      <c r="C11" s="15"/>
      <c r="D11" s="15"/>
      <c r="E11" s="17" t="s">
        <v>5</v>
      </c>
      <c r="F11" s="15"/>
      <c r="G11" s="15"/>
      <c r="H11" s="15"/>
    </row>
    <row r="12" spans="1:8" ht="24" customHeight="1" x14ac:dyDescent="0.35">
      <c r="A12" s="15"/>
      <c r="B12" s="15"/>
      <c r="C12" s="15"/>
      <c r="D12" s="15"/>
      <c r="E12" s="15"/>
      <c r="F12" s="15"/>
      <c r="G12" s="15"/>
      <c r="H12" s="15"/>
    </row>
    <row r="13" spans="1:8" ht="24" customHeight="1" x14ac:dyDescent="0.35">
      <c r="A13" s="15"/>
      <c r="B13" s="15"/>
      <c r="C13" s="15"/>
      <c r="D13" s="15"/>
      <c r="E13" s="15"/>
      <c r="F13" s="15"/>
      <c r="G13" s="15"/>
      <c r="H13" s="15"/>
    </row>
    <row r="15" spans="1:8" ht="24" customHeight="1" x14ac:dyDescent="0.35">
      <c r="A15" s="16" t="s">
        <v>6</v>
      </c>
      <c r="B15" s="15"/>
      <c r="C15" s="15"/>
      <c r="D15" s="15"/>
      <c r="E15" s="17" t="s">
        <v>7</v>
      </c>
      <c r="F15" s="15"/>
      <c r="G15" s="15"/>
      <c r="H15" s="15"/>
    </row>
    <row r="16" spans="1:8" ht="24" customHeight="1" x14ac:dyDescent="0.35">
      <c r="A16" s="15"/>
      <c r="B16" s="15"/>
      <c r="C16" s="15"/>
      <c r="D16" s="15"/>
      <c r="E16" s="15"/>
      <c r="F16" s="15"/>
      <c r="G16" s="15"/>
      <c r="H16" s="15"/>
    </row>
    <row r="17" spans="1:8" ht="24" customHeight="1" x14ac:dyDescent="0.35">
      <c r="A17" s="15"/>
      <c r="B17" s="15"/>
      <c r="C17" s="15"/>
      <c r="D17" s="15"/>
      <c r="E17" s="15"/>
      <c r="F17" s="15"/>
      <c r="G17" s="15"/>
      <c r="H17" s="15"/>
    </row>
    <row r="19" spans="1:8" ht="24" customHeight="1" x14ac:dyDescent="0.35">
      <c r="A19" s="16" t="s">
        <v>8</v>
      </c>
      <c r="B19" s="15"/>
      <c r="C19" s="15"/>
      <c r="D19" s="15"/>
      <c r="E19" s="17" t="s">
        <v>9</v>
      </c>
      <c r="F19" s="15"/>
      <c r="G19" s="15"/>
      <c r="H19" s="15"/>
    </row>
    <row r="20" spans="1:8" ht="24" customHeight="1" x14ac:dyDescent="0.35">
      <c r="A20" s="15"/>
      <c r="B20" s="15"/>
      <c r="C20" s="15"/>
      <c r="D20" s="15"/>
      <c r="E20" s="15"/>
      <c r="F20" s="15"/>
      <c r="G20" s="15"/>
      <c r="H20" s="15"/>
    </row>
    <row r="21" spans="1:8" ht="24" customHeight="1" x14ac:dyDescent="0.35">
      <c r="A21" s="15"/>
      <c r="B21" s="15"/>
      <c r="C21" s="15"/>
      <c r="D21" s="15"/>
      <c r="E21" s="15"/>
      <c r="F21" s="15"/>
      <c r="G21" s="15"/>
      <c r="H21" s="15"/>
    </row>
    <row r="23" spans="1:8" x14ac:dyDescent="0.35">
      <c r="A23" s="18"/>
      <c r="B23" s="15"/>
      <c r="C23" s="15"/>
      <c r="D23" s="15"/>
      <c r="E23" s="15"/>
      <c r="F23" s="15"/>
      <c r="G23" s="15"/>
      <c r="H23" s="15"/>
    </row>
    <row r="24" spans="1:8" x14ac:dyDescent="0.35">
      <c r="A24" s="15"/>
      <c r="B24" s="15"/>
      <c r="C24" s="15"/>
      <c r="D24" s="15"/>
      <c r="E24" s="15"/>
      <c r="F24" s="15"/>
      <c r="G24" s="15"/>
      <c r="H24" s="15"/>
    </row>
    <row r="25" spans="1:8" x14ac:dyDescent="0.35">
      <c r="A25" s="15"/>
      <c r="B25" s="15"/>
      <c r="C25" s="15"/>
      <c r="D25" s="15"/>
      <c r="E25" s="15"/>
      <c r="F25" s="15"/>
      <c r="G25" s="15"/>
      <c r="H25" s="15"/>
    </row>
  </sheetData>
  <mergeCells count="12">
    <mergeCell ref="A23:H25"/>
    <mergeCell ref="A15:D17"/>
    <mergeCell ref="A5:H5"/>
    <mergeCell ref="E15:H17"/>
    <mergeCell ref="A1:H2"/>
    <mergeCell ref="A3:H3"/>
    <mergeCell ref="A7:D9"/>
    <mergeCell ref="E7:H9"/>
    <mergeCell ref="A19:D21"/>
    <mergeCell ref="A11:D13"/>
    <mergeCell ref="E19:H21"/>
    <mergeCell ref="E11:H13"/>
  </mergeCells>
  <hyperlinks>
    <hyperlink ref="A7" location="'DASHBOARD'!A1" display="TABLEAU DE BORD_x000a__x000a_Voir les indicateurs, les statuts et les graphiques." xr:uid="{00000000-0004-0000-0000-000000000000}"/>
    <hyperlink ref="E7" location="'COMMANDES'!A1" display="COMMANDES_x000a__x000a_Consulter et compléter le registre des commandes." xr:uid="{00000000-0004-0000-0000-000001000000}"/>
    <hyperlink ref="A11" location="'FOURNISSEURS'!A1" display="FOURNISSEURS_x000a__x000a_Gérer les coordonnées et le statut des fournisseurs." xr:uid="{00000000-0004-0000-0000-000002000000}"/>
    <hyperlink ref="E11" location="'ARTICLES'!A1" display="ARTICLES &amp; PRIX_x000a__x000a_Consulter le catalogue des articles et les prix." xr:uid="{00000000-0004-0000-0000-000003000000}"/>
    <hyperlink ref="A15" location="'MOUVEMENTS_STOCK'!A1" display="MOUVEMENTS DE STOCK_x000a__x000a_Tracer les entrées et sorties de stock." xr:uid="{00000000-0004-0000-0000-000004000000}"/>
    <hyperlink ref="E15" location="'LIVRAISONS'!A1" display="LIVRAISONS_x000a__x000a_Suivre les réceptions et l'état des livraisons." xr:uid="{00000000-0004-0000-0000-000005000000}"/>
    <hyperlink ref="A19" location="'DETAILS_COMMANDES'!A1" display="DÉTAILS COMMANDES_x000a__x000a_Consulter les articles, quantités et montants par commande." xr:uid="{00000000-0004-0000-0000-000006000000}"/>
    <hyperlink ref="E19" location="'PARAMETRES'!A1" display="PARAMÈTRES_x000a__x000a_Référentiel des statuts et consignes." xr:uid="{00000000-0004-0000-0000-000007000000}"/>
  </hyperlinks>
  <pageMargins left="0.25" right="0.2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3"/>
  <sheetViews>
    <sheetView showGridLines="0" tabSelected="1" zoomScale="80" zoomScaleNormal="80" workbookViewId="0">
      <pane ySplit="3" topLeftCell="A4" activePane="bottomLeft" state="frozen"/>
      <selection pane="bottomLeft" activeCell="B13" sqref="B13"/>
    </sheetView>
  </sheetViews>
  <sheetFormatPr baseColWidth="10" defaultColWidth="8.7265625" defaultRowHeight="14.5" x14ac:dyDescent="0.35"/>
  <cols>
    <col min="1" max="1" width="20" customWidth="1"/>
    <col min="2" max="11" width="16" customWidth="1"/>
  </cols>
  <sheetData>
    <row r="1" spans="1:11" ht="36" customHeight="1" x14ac:dyDescent="0.35">
      <c r="A1" s="25" t="s">
        <v>10</v>
      </c>
      <c r="B1" s="15"/>
      <c r="C1" s="15"/>
      <c r="D1" s="15"/>
      <c r="E1" s="15"/>
      <c r="F1" s="15"/>
      <c r="G1" s="15"/>
      <c r="H1" s="15"/>
      <c r="I1" s="15"/>
      <c r="J1" s="15"/>
      <c r="K1" s="1" t="s">
        <v>11</v>
      </c>
    </row>
    <row r="2" spans="1:11" ht="23" customHeight="1" x14ac:dyDescent="0.35">
      <c r="A2" s="34"/>
      <c r="B2" s="15"/>
      <c r="C2" s="15"/>
      <c r="D2" s="15"/>
      <c r="E2" s="15"/>
      <c r="F2" s="15"/>
      <c r="G2" s="15"/>
      <c r="H2" s="15"/>
      <c r="I2" s="15"/>
      <c r="J2" s="15"/>
    </row>
    <row r="4" spans="1:11" ht="30" customHeight="1" x14ac:dyDescent="0.35">
      <c r="A4" s="21" t="s">
        <v>12</v>
      </c>
      <c r="B4" s="22"/>
      <c r="C4" s="35" t="s">
        <v>13</v>
      </c>
      <c r="D4" s="36"/>
      <c r="E4" s="26" t="s">
        <v>14</v>
      </c>
      <c r="F4" s="27"/>
      <c r="G4" s="23" t="s">
        <v>15</v>
      </c>
      <c r="H4" s="24"/>
      <c r="I4" s="28" t="s">
        <v>16</v>
      </c>
      <c r="J4" s="29"/>
    </row>
    <row r="5" spans="1:11" ht="30" customHeight="1" x14ac:dyDescent="0.35">
      <c r="A5" s="31">
        <f>COUNTA(COMMANDES!A5:A500)</f>
        <v>4</v>
      </c>
      <c r="B5" s="32"/>
      <c r="C5" s="31">
        <f>COUNTIF(COMMANDES!E5:E500,"En cours")</f>
        <v>2</v>
      </c>
      <c r="D5" s="32"/>
      <c r="E5" s="31">
        <f>COUNTIF(COMMANDES!E5:E500,"En attente")</f>
        <v>1</v>
      </c>
      <c r="F5" s="32"/>
      <c r="G5" s="31">
        <f>COUNTIF(COMMANDES!E5:E500,"Livrée")</f>
        <v>1</v>
      </c>
      <c r="H5" s="32"/>
      <c r="I5" s="33">
        <f>SUM(DETAILS_COMMANDES!E5:E500)</f>
        <v>1103000</v>
      </c>
      <c r="J5" s="32"/>
    </row>
    <row r="6" spans="1:11" ht="20" customHeight="1" x14ac:dyDescent="0.35">
      <c r="A6" s="32"/>
      <c r="B6" s="32"/>
      <c r="C6" s="32"/>
      <c r="D6" s="32"/>
      <c r="E6" s="32"/>
      <c r="F6" s="32"/>
      <c r="G6" s="32"/>
      <c r="H6" s="32"/>
      <c r="I6" s="32"/>
      <c r="J6" s="32"/>
    </row>
    <row r="9" spans="1:11" x14ac:dyDescent="0.35">
      <c r="A9" s="2" t="s">
        <v>17</v>
      </c>
      <c r="B9" s="2" t="s">
        <v>18</v>
      </c>
      <c r="D9" s="2" t="s">
        <v>19</v>
      </c>
      <c r="E9" s="2" t="s">
        <v>18</v>
      </c>
    </row>
    <row r="10" spans="1:11" x14ac:dyDescent="0.35">
      <c r="A10" t="s">
        <v>20</v>
      </c>
      <c r="B10">
        <f>COUNTIF(COMMANDES!E5:E500,A10)</f>
        <v>1</v>
      </c>
      <c r="D10" t="s">
        <v>21</v>
      </c>
      <c r="E10">
        <f>COUNTIF(COMMANDES!F5:F500,D10)</f>
        <v>0</v>
      </c>
    </row>
    <row r="11" spans="1:11" x14ac:dyDescent="0.35">
      <c r="A11" t="s">
        <v>22</v>
      </c>
      <c r="B11">
        <f>COUNTIF(COMMANDES!E5:E500,A11)</f>
        <v>2</v>
      </c>
      <c r="D11" t="s">
        <v>23</v>
      </c>
      <c r="E11">
        <f>COUNTIF(COMMANDES!F5:F500,D11)</f>
        <v>2</v>
      </c>
    </row>
    <row r="12" spans="1:11" x14ac:dyDescent="0.35">
      <c r="A12" t="s">
        <v>24</v>
      </c>
      <c r="B12">
        <f>COUNTIF(COMMANDES!E5:E500,A12)</f>
        <v>1</v>
      </c>
      <c r="D12" t="s">
        <v>25</v>
      </c>
      <c r="E12">
        <f>COUNTIF(COMMANDES!F5:F500,D12)</f>
        <v>1</v>
      </c>
    </row>
    <row r="13" spans="1:11" x14ac:dyDescent="0.35">
      <c r="A13" t="s">
        <v>26</v>
      </c>
      <c r="B13">
        <f>COUNTIF(COMMANDES!E5:E500,A13)</f>
        <v>0</v>
      </c>
      <c r="D13" t="s">
        <v>27</v>
      </c>
      <c r="E13">
        <f>COUNTIF(COMMANDES!F5:F500,D13)</f>
        <v>1</v>
      </c>
    </row>
    <row r="32" spans="1:10" x14ac:dyDescent="0.35">
      <c r="A32" s="30"/>
      <c r="B32" s="15"/>
      <c r="C32" s="15"/>
      <c r="D32" s="15"/>
      <c r="E32" s="15"/>
      <c r="F32" s="15"/>
      <c r="G32" s="15"/>
      <c r="H32" s="15"/>
      <c r="I32" s="15"/>
      <c r="J32" s="15"/>
    </row>
    <row r="33" spans="1:10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</row>
  </sheetData>
  <mergeCells count="13">
    <mergeCell ref="A32:J33"/>
    <mergeCell ref="C5:D6"/>
    <mergeCell ref="A5:B6"/>
    <mergeCell ref="G5:H6"/>
    <mergeCell ref="E5:F6"/>
    <mergeCell ref="I5:J6"/>
    <mergeCell ref="A4:B4"/>
    <mergeCell ref="G4:H4"/>
    <mergeCell ref="A1:J1"/>
    <mergeCell ref="E4:F4"/>
    <mergeCell ref="I4:J4"/>
    <mergeCell ref="A2:J2"/>
    <mergeCell ref="C4:D4"/>
  </mergeCells>
  <hyperlinks>
    <hyperlink ref="K1" location="'ACCUEIL'!A1" display="← ACCUEIL" xr:uid="{00000000-0004-0000-0100-000000000000}"/>
  </hyperlinks>
  <pageMargins left="0.25" right="0.25" top="1" bottom="1" header="0.5" footer="0.5"/>
  <pageSetup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8"/>
  <sheetViews>
    <sheetView showGridLines="0" zoomScale="90" workbookViewId="0">
      <pane ySplit="4" topLeftCell="A5" activePane="bottomLeft" state="frozen"/>
      <selection pane="bottomLeft" activeCell="B9" sqref="B9"/>
    </sheetView>
  </sheetViews>
  <sheetFormatPr baseColWidth="10" defaultColWidth="8.7265625" defaultRowHeight="14.5" x14ac:dyDescent="0.35"/>
  <cols>
    <col min="1" max="1" width="20" customWidth="1"/>
    <col min="2" max="2" width="17" customWidth="1"/>
    <col min="3" max="3" width="24" customWidth="1"/>
    <col min="4" max="4" width="20" customWidth="1"/>
    <col min="5" max="5" width="18" customWidth="1"/>
    <col min="6" max="6" width="16" customWidth="1"/>
    <col min="7" max="7" width="22" customWidth="1"/>
    <col min="8" max="8" width="38" customWidth="1"/>
    <col min="11" max="11" width="16" customWidth="1"/>
  </cols>
  <sheetData>
    <row r="1" spans="1:11" ht="36" customHeight="1" x14ac:dyDescent="0.35">
      <c r="A1" s="25" t="s">
        <v>28</v>
      </c>
      <c r="B1" s="15"/>
      <c r="C1" s="15"/>
      <c r="D1" s="15"/>
      <c r="E1" s="15"/>
      <c r="F1" s="15"/>
      <c r="G1" s="15"/>
      <c r="H1" s="15"/>
      <c r="K1" s="1" t="s">
        <v>11</v>
      </c>
    </row>
    <row r="2" spans="1:11" ht="23" customHeight="1" x14ac:dyDescent="0.35">
      <c r="A2" s="34"/>
      <c r="B2" s="15"/>
      <c r="C2" s="15"/>
      <c r="D2" s="15"/>
      <c r="E2" s="15"/>
      <c r="F2" s="15"/>
      <c r="G2" s="15"/>
      <c r="H2" s="15"/>
    </row>
    <row r="4" spans="1:11" ht="32" customHeight="1" x14ac:dyDescent="0.35">
      <c r="A4" s="3" t="s">
        <v>29</v>
      </c>
      <c r="B4" s="3" t="s">
        <v>30</v>
      </c>
      <c r="C4" s="3" t="s">
        <v>31</v>
      </c>
      <c r="D4" s="3" t="s">
        <v>32</v>
      </c>
      <c r="E4" s="3" t="s">
        <v>17</v>
      </c>
      <c r="F4" s="3" t="s">
        <v>19</v>
      </c>
      <c r="G4" s="3" t="s">
        <v>33</v>
      </c>
      <c r="H4" s="3" t="s">
        <v>34</v>
      </c>
    </row>
    <row r="5" spans="1:11" x14ac:dyDescent="0.35">
      <c r="A5" s="4" t="s">
        <v>35</v>
      </c>
      <c r="B5" s="5" t="s">
        <v>36</v>
      </c>
      <c r="C5" s="4" t="s">
        <v>37</v>
      </c>
      <c r="D5" s="4" t="s">
        <v>38</v>
      </c>
      <c r="E5" s="4" t="s">
        <v>22</v>
      </c>
      <c r="F5" s="4" t="s">
        <v>27</v>
      </c>
      <c r="G5" s="4" t="s">
        <v>39</v>
      </c>
      <c r="H5" s="4" t="s">
        <v>40</v>
      </c>
    </row>
    <row r="6" spans="1:11" x14ac:dyDescent="0.35">
      <c r="A6" s="6" t="s">
        <v>41</v>
      </c>
      <c r="B6" s="7" t="s">
        <v>42</v>
      </c>
      <c r="C6" s="6" t="s">
        <v>43</v>
      </c>
      <c r="D6" s="6" t="s">
        <v>44</v>
      </c>
      <c r="E6" s="6" t="s">
        <v>24</v>
      </c>
      <c r="F6" s="6" t="s">
        <v>23</v>
      </c>
      <c r="G6" s="6" t="s">
        <v>39</v>
      </c>
      <c r="H6" s="6" t="s">
        <v>45</v>
      </c>
    </row>
    <row r="7" spans="1:11" x14ac:dyDescent="0.35">
      <c r="A7" s="4" t="s">
        <v>46</v>
      </c>
      <c r="B7" s="5" t="s">
        <v>47</v>
      </c>
      <c r="C7" s="4" t="s">
        <v>48</v>
      </c>
      <c r="D7" s="4" t="s">
        <v>49</v>
      </c>
      <c r="E7" s="4" t="s">
        <v>20</v>
      </c>
      <c r="F7" s="4" t="s">
        <v>23</v>
      </c>
      <c r="G7" s="4" t="s">
        <v>39</v>
      </c>
      <c r="H7" s="4" t="s">
        <v>50</v>
      </c>
    </row>
    <row r="8" spans="1:11" x14ac:dyDescent="0.35">
      <c r="A8" s="6" t="s">
        <v>51</v>
      </c>
      <c r="B8" s="7" t="s">
        <v>52</v>
      </c>
      <c r="C8" s="6" t="s">
        <v>53</v>
      </c>
      <c r="D8" s="6" t="s">
        <v>54</v>
      </c>
      <c r="E8" s="6" t="s">
        <v>22</v>
      </c>
      <c r="F8" s="6" t="s">
        <v>25</v>
      </c>
      <c r="G8" s="6" t="s">
        <v>39</v>
      </c>
      <c r="H8" s="6" t="s">
        <v>55</v>
      </c>
    </row>
  </sheetData>
  <autoFilter ref="A4:H8" xr:uid="{00000000-0009-0000-0000-000002000000}"/>
  <mergeCells count="2">
    <mergeCell ref="A2:H2"/>
    <mergeCell ref="A1:H1"/>
  </mergeCells>
  <conditionalFormatting sqref="E5:E500">
    <cfRule type="cellIs" dxfId="2" priority="1" operator="equal">
      <formula>"Livrée"</formula>
    </cfRule>
    <cfRule type="cellIs" dxfId="1" priority="2" operator="equal">
      <formula>"En attente"</formula>
    </cfRule>
    <cfRule type="cellIs" dxfId="0" priority="3" operator="equal">
      <formula>"En cours"</formula>
    </cfRule>
  </conditionalFormatting>
  <dataValidations count="2">
    <dataValidation type="list" allowBlank="1" sqref="E5:E500" xr:uid="{00000000-0002-0000-0200-000000000000}">
      <formula1>"En attente,En cours,Livrée,Annulée"</formula1>
    </dataValidation>
    <dataValidation type="list" allowBlank="1" sqref="F5:F500" xr:uid="{00000000-0002-0000-0200-000001000000}">
      <formula1>"Basse,Normale,Haute,Urgente"</formula1>
    </dataValidation>
  </dataValidations>
  <hyperlinks>
    <hyperlink ref="K1" location="'ACCUEIL'!A1" display="← ACCUEIL" xr:uid="{00000000-0004-0000-0200-000000000000}"/>
  </hyperlinks>
  <pageMargins left="0.25" right="0.2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0"/>
  <sheetViews>
    <sheetView showGridLines="0" zoomScale="90" workbookViewId="0">
      <pane ySplit="4" topLeftCell="A5" activePane="bottomLeft" state="frozen"/>
      <selection pane="bottomLeft" activeCell="H11" sqref="H11"/>
    </sheetView>
  </sheetViews>
  <sheetFormatPr baseColWidth="10" defaultColWidth="8.7265625" defaultRowHeight="14.5" x14ac:dyDescent="0.35"/>
  <cols>
    <col min="1" max="1" width="20" customWidth="1"/>
    <col min="2" max="2" width="18" customWidth="1"/>
    <col min="3" max="3" width="14" customWidth="1"/>
    <col min="4" max="5" width="24" customWidth="1"/>
    <col min="11" max="11" width="16" customWidth="1"/>
  </cols>
  <sheetData>
    <row r="1" spans="1:11" ht="36" customHeight="1" x14ac:dyDescent="0.35">
      <c r="A1" s="25" t="s">
        <v>56</v>
      </c>
      <c r="B1" s="15"/>
      <c r="C1" s="15"/>
      <c r="D1" s="15"/>
      <c r="E1" s="15"/>
      <c r="K1" s="1" t="s">
        <v>11</v>
      </c>
    </row>
    <row r="2" spans="1:11" ht="23" customHeight="1" x14ac:dyDescent="0.35">
      <c r="A2" s="34"/>
      <c r="B2" s="15"/>
      <c r="C2" s="15"/>
      <c r="D2" s="15"/>
      <c r="E2" s="15"/>
    </row>
    <row r="4" spans="1:11" ht="32" customHeight="1" x14ac:dyDescent="0.35">
      <c r="A4" s="3" t="s">
        <v>29</v>
      </c>
      <c r="B4" s="3" t="s">
        <v>57</v>
      </c>
      <c r="C4" s="3" t="s">
        <v>58</v>
      </c>
      <c r="D4" s="3" t="s">
        <v>59</v>
      </c>
      <c r="E4" s="3" t="s">
        <v>60</v>
      </c>
    </row>
    <row r="5" spans="1:11" x14ac:dyDescent="0.35">
      <c r="A5" s="4" t="s">
        <v>35</v>
      </c>
      <c r="B5" s="4" t="s">
        <v>61</v>
      </c>
      <c r="C5" s="4">
        <v>2</v>
      </c>
      <c r="D5" s="8">
        <f>IFERROR(VLOOKUP(B5,ARTICLES!$A$5:$H$11,5,FALSE),0)</f>
        <v>450000</v>
      </c>
      <c r="E5" s="8">
        <f t="shared" ref="E5:E10" si="0">C5*D5</f>
        <v>900000</v>
      </c>
    </row>
    <row r="6" spans="1:11" x14ac:dyDescent="0.35">
      <c r="A6" s="6" t="s">
        <v>35</v>
      </c>
      <c r="B6" s="6" t="s">
        <v>62</v>
      </c>
      <c r="C6" s="6">
        <v>5</v>
      </c>
      <c r="D6" s="9">
        <f>IFERROR(VLOOKUP(B6,ARTICLES!$A$5:$H$11,5,FALSE),0)</f>
        <v>5000</v>
      </c>
      <c r="E6" s="9">
        <f t="shared" si="0"/>
        <v>25000</v>
      </c>
    </row>
    <row r="7" spans="1:11" x14ac:dyDescent="0.35">
      <c r="A7" s="4" t="s">
        <v>41</v>
      </c>
      <c r="B7" s="4" t="s">
        <v>63</v>
      </c>
      <c r="C7" s="4">
        <v>20</v>
      </c>
      <c r="D7" s="8">
        <f>IFERROR(VLOOKUP(B7,ARTICLES!$A$5:$H$11,5,FALSE),0)</f>
        <v>2500</v>
      </c>
      <c r="E7" s="8">
        <f t="shared" si="0"/>
        <v>50000</v>
      </c>
    </row>
    <row r="8" spans="1:11" x14ac:dyDescent="0.35">
      <c r="A8" s="6" t="s">
        <v>41</v>
      </c>
      <c r="B8" s="6" t="s">
        <v>64</v>
      </c>
      <c r="C8" s="6">
        <v>100</v>
      </c>
      <c r="D8" s="9">
        <f>IFERROR(VLOOKUP(B8,ARTICLES!$A$5:$H$11,5,FALSE),0)</f>
        <v>150</v>
      </c>
      <c r="E8" s="9">
        <f t="shared" si="0"/>
        <v>15000</v>
      </c>
    </row>
    <row r="9" spans="1:11" x14ac:dyDescent="0.35">
      <c r="A9" s="4" t="s">
        <v>46</v>
      </c>
      <c r="B9" s="4" t="s">
        <v>65</v>
      </c>
      <c r="C9" s="4">
        <v>10</v>
      </c>
      <c r="D9" s="8">
        <f>IFERROR(VLOOKUP(B9,ARTICLES!$A$5:$H$11,5,FALSE),0)</f>
        <v>6500</v>
      </c>
      <c r="E9" s="8">
        <f t="shared" si="0"/>
        <v>65000</v>
      </c>
    </row>
    <row r="10" spans="1:11" x14ac:dyDescent="0.35">
      <c r="A10" s="6" t="s">
        <v>51</v>
      </c>
      <c r="B10" s="6" t="s">
        <v>66</v>
      </c>
      <c r="C10" s="6">
        <v>12</v>
      </c>
      <c r="D10" s="9">
        <f>IFERROR(VLOOKUP(B10,ARTICLES!$A$5:$H$11,5,FALSE),0)</f>
        <v>4000</v>
      </c>
      <c r="E10" s="9">
        <f t="shared" si="0"/>
        <v>48000</v>
      </c>
    </row>
  </sheetData>
  <autoFilter ref="A4:E10" xr:uid="{00000000-0009-0000-0000-000003000000}"/>
  <mergeCells count="2">
    <mergeCell ref="A2:E2"/>
    <mergeCell ref="A1:E1"/>
  </mergeCells>
  <hyperlinks>
    <hyperlink ref="K1" location="'ACCUEIL'!A1" display="← ACCUEIL" xr:uid="{00000000-0004-0000-0300-000000000000}"/>
  </hyperlinks>
  <pageMargins left="0.25" right="0.2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8"/>
  <sheetViews>
    <sheetView showGridLines="0" zoomScale="90" workbookViewId="0">
      <pane ySplit="4" topLeftCell="A5" activePane="bottomLeft" state="frozen"/>
      <selection pane="bottomLeft" activeCell="A2" sqref="A2:G2"/>
    </sheetView>
  </sheetViews>
  <sheetFormatPr baseColWidth="10" defaultColWidth="8.7265625" defaultRowHeight="14.5" x14ac:dyDescent="0.35"/>
  <cols>
    <col min="1" max="1" width="18" customWidth="1"/>
    <col min="2" max="2" width="28" customWidth="1"/>
    <col min="3" max="3" width="22" customWidth="1"/>
    <col min="4" max="4" width="20" customWidth="1"/>
    <col min="5" max="5" width="32" customWidth="1"/>
    <col min="6" max="6" width="18" customWidth="1"/>
    <col min="7" max="7" width="14" customWidth="1"/>
    <col min="11" max="11" width="16" customWidth="1"/>
  </cols>
  <sheetData>
    <row r="1" spans="1:11" ht="36" customHeight="1" x14ac:dyDescent="0.35">
      <c r="A1" s="25" t="s">
        <v>67</v>
      </c>
      <c r="B1" s="15"/>
      <c r="C1" s="15"/>
      <c r="D1" s="15"/>
      <c r="E1" s="15"/>
      <c r="F1" s="15"/>
      <c r="G1" s="15"/>
      <c r="K1" s="1" t="s">
        <v>11</v>
      </c>
    </row>
    <row r="2" spans="1:11" ht="23" customHeight="1" x14ac:dyDescent="0.35">
      <c r="A2" s="34"/>
      <c r="B2" s="15"/>
      <c r="C2" s="15"/>
      <c r="D2" s="15"/>
      <c r="E2" s="15"/>
      <c r="F2" s="15"/>
      <c r="G2" s="15"/>
    </row>
    <row r="4" spans="1:11" ht="32" customHeight="1" x14ac:dyDescent="0.35">
      <c r="A4" s="3" t="s">
        <v>32</v>
      </c>
      <c r="B4" s="3" t="s">
        <v>68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17</v>
      </c>
    </row>
    <row r="5" spans="1:11" x14ac:dyDescent="0.35">
      <c r="A5" s="10" t="s">
        <v>49</v>
      </c>
      <c r="B5" s="10" t="s">
        <v>73</v>
      </c>
      <c r="C5" s="10" t="s">
        <v>74</v>
      </c>
      <c r="D5" s="10" t="s">
        <v>75</v>
      </c>
      <c r="E5" s="10" t="s">
        <v>76</v>
      </c>
      <c r="F5" s="10" t="s">
        <v>77</v>
      </c>
      <c r="G5" s="10" t="s">
        <v>78</v>
      </c>
    </row>
    <row r="6" spans="1:11" x14ac:dyDescent="0.35">
      <c r="A6" s="11" t="s">
        <v>38</v>
      </c>
      <c r="B6" s="11" t="s">
        <v>79</v>
      </c>
      <c r="C6" s="11" t="s">
        <v>80</v>
      </c>
      <c r="D6" s="11" t="s">
        <v>81</v>
      </c>
      <c r="E6" s="11" t="s">
        <v>82</v>
      </c>
      <c r="F6" s="11" t="s">
        <v>77</v>
      </c>
      <c r="G6" s="11" t="s">
        <v>78</v>
      </c>
    </row>
    <row r="7" spans="1:11" x14ac:dyDescent="0.35">
      <c r="A7" s="10" t="s">
        <v>54</v>
      </c>
      <c r="B7" s="10" t="s">
        <v>83</v>
      </c>
      <c r="C7" s="10" t="s">
        <v>84</v>
      </c>
      <c r="D7" s="10" t="s">
        <v>85</v>
      </c>
      <c r="E7" s="10" t="s">
        <v>86</v>
      </c>
      <c r="F7" s="10" t="s">
        <v>87</v>
      </c>
      <c r="G7" s="10" t="s">
        <v>78</v>
      </c>
    </row>
    <row r="8" spans="1:11" x14ac:dyDescent="0.35">
      <c r="A8" s="11" t="s">
        <v>44</v>
      </c>
      <c r="B8" s="11" t="s">
        <v>88</v>
      </c>
      <c r="C8" s="11" t="s">
        <v>89</v>
      </c>
      <c r="D8" s="11" t="s">
        <v>90</v>
      </c>
      <c r="E8" s="11" t="s">
        <v>91</v>
      </c>
      <c r="F8" s="11" t="s">
        <v>77</v>
      </c>
      <c r="G8" s="11" t="s">
        <v>78</v>
      </c>
    </row>
  </sheetData>
  <autoFilter ref="A4:G8" xr:uid="{00000000-0009-0000-0000-000004000000}"/>
  <mergeCells count="2">
    <mergeCell ref="A2:G2"/>
    <mergeCell ref="A1:G1"/>
  </mergeCells>
  <hyperlinks>
    <hyperlink ref="K1" location="'ACCUEIL'!A1" display="← ACCUEIL" xr:uid="{00000000-0004-0000-0400-000000000000}"/>
  </hyperlinks>
  <pageMargins left="0.25" right="0.2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11"/>
  <sheetViews>
    <sheetView showGridLines="0" zoomScale="90" workbookViewId="0">
      <pane ySplit="4" topLeftCell="A5" activePane="bottomLeft" state="frozen"/>
      <selection pane="bottomLeft" activeCell="A2" sqref="A2:H2"/>
    </sheetView>
  </sheetViews>
  <sheetFormatPr baseColWidth="10" defaultColWidth="8.7265625" defaultRowHeight="14.5" x14ac:dyDescent="0.35"/>
  <cols>
    <col min="1" max="1" width="16" customWidth="1"/>
    <col min="2" max="2" width="28" customWidth="1"/>
    <col min="3" max="3" width="22" customWidth="1"/>
    <col min="4" max="4" width="14" customWidth="1"/>
    <col min="5" max="5" width="22" customWidth="1"/>
    <col min="6" max="6" width="16" customWidth="1"/>
    <col min="7" max="7" width="20" customWidth="1"/>
    <col min="8" max="8" width="14" customWidth="1"/>
    <col min="11" max="11" width="16" customWidth="1"/>
  </cols>
  <sheetData>
    <row r="1" spans="1:11" ht="36" customHeight="1" x14ac:dyDescent="0.35">
      <c r="A1" s="25" t="s">
        <v>92</v>
      </c>
      <c r="B1" s="15"/>
      <c r="C1" s="15"/>
      <c r="D1" s="15"/>
      <c r="E1" s="15"/>
      <c r="F1" s="15"/>
      <c r="G1" s="15"/>
      <c r="H1" s="15"/>
      <c r="K1" s="1" t="s">
        <v>11</v>
      </c>
    </row>
    <row r="2" spans="1:11" ht="23" customHeight="1" x14ac:dyDescent="0.35">
      <c r="A2" s="34"/>
      <c r="B2" s="15"/>
      <c r="C2" s="15"/>
      <c r="D2" s="15"/>
      <c r="E2" s="15"/>
      <c r="F2" s="15"/>
      <c r="G2" s="15"/>
      <c r="H2" s="15"/>
    </row>
    <row r="4" spans="1:11" ht="32" customHeight="1" x14ac:dyDescent="0.35">
      <c r="A4" s="3" t="s">
        <v>57</v>
      </c>
      <c r="B4" s="3" t="s">
        <v>93</v>
      </c>
      <c r="C4" s="3" t="s">
        <v>94</v>
      </c>
      <c r="D4" s="3" t="s">
        <v>95</v>
      </c>
      <c r="E4" s="3" t="s">
        <v>59</v>
      </c>
      <c r="F4" s="3" t="s">
        <v>96</v>
      </c>
      <c r="G4" s="3" t="s">
        <v>32</v>
      </c>
      <c r="H4" s="3" t="s">
        <v>17</v>
      </c>
    </row>
    <row r="5" spans="1:11" x14ac:dyDescent="0.35">
      <c r="A5" s="10" t="s">
        <v>63</v>
      </c>
      <c r="B5" s="10" t="s">
        <v>97</v>
      </c>
      <c r="C5" s="10" t="s">
        <v>98</v>
      </c>
      <c r="D5" s="10" t="s">
        <v>99</v>
      </c>
      <c r="E5" s="12">
        <v>2500</v>
      </c>
      <c r="F5" s="10">
        <v>120</v>
      </c>
      <c r="G5" s="10" t="s">
        <v>49</v>
      </c>
      <c r="H5" s="10" t="s">
        <v>78</v>
      </c>
    </row>
    <row r="6" spans="1:11" x14ac:dyDescent="0.35">
      <c r="A6" s="11" t="s">
        <v>64</v>
      </c>
      <c r="B6" s="11" t="s">
        <v>100</v>
      </c>
      <c r="C6" s="11" t="s">
        <v>98</v>
      </c>
      <c r="D6" s="11" t="s">
        <v>95</v>
      </c>
      <c r="E6" s="13">
        <v>150</v>
      </c>
      <c r="F6" s="11">
        <v>500</v>
      </c>
      <c r="G6" s="11" t="s">
        <v>44</v>
      </c>
      <c r="H6" s="11" t="s">
        <v>78</v>
      </c>
    </row>
    <row r="7" spans="1:11" x14ac:dyDescent="0.35">
      <c r="A7" s="10" t="s">
        <v>61</v>
      </c>
      <c r="B7" s="10" t="s">
        <v>101</v>
      </c>
      <c r="C7" s="10" t="s">
        <v>102</v>
      </c>
      <c r="D7" s="10" t="s">
        <v>95</v>
      </c>
      <c r="E7" s="12">
        <v>450000</v>
      </c>
      <c r="F7" s="10">
        <v>8</v>
      </c>
      <c r="G7" s="10" t="s">
        <v>38</v>
      </c>
      <c r="H7" s="10" t="s">
        <v>78</v>
      </c>
    </row>
    <row r="8" spans="1:11" x14ac:dyDescent="0.35">
      <c r="A8" s="11" t="s">
        <v>103</v>
      </c>
      <c r="B8" s="11" t="s">
        <v>104</v>
      </c>
      <c r="C8" s="11" t="s">
        <v>102</v>
      </c>
      <c r="D8" s="11" t="s">
        <v>95</v>
      </c>
      <c r="E8" s="13">
        <v>35000</v>
      </c>
      <c r="F8" s="11">
        <v>14</v>
      </c>
      <c r="G8" s="11" t="s">
        <v>38</v>
      </c>
      <c r="H8" s="11" t="s">
        <v>78</v>
      </c>
    </row>
    <row r="9" spans="1:11" x14ac:dyDescent="0.35">
      <c r="A9" s="10" t="s">
        <v>66</v>
      </c>
      <c r="B9" s="10" t="s">
        <v>105</v>
      </c>
      <c r="C9" s="10" t="s">
        <v>106</v>
      </c>
      <c r="D9" s="10" t="s">
        <v>107</v>
      </c>
      <c r="E9" s="12">
        <v>4000</v>
      </c>
      <c r="F9" s="10">
        <v>45</v>
      </c>
      <c r="G9" s="10" t="s">
        <v>54</v>
      </c>
      <c r="H9" s="10" t="s">
        <v>78</v>
      </c>
    </row>
    <row r="10" spans="1:11" x14ac:dyDescent="0.35">
      <c r="A10" s="11" t="s">
        <v>65</v>
      </c>
      <c r="B10" s="11" t="s">
        <v>108</v>
      </c>
      <c r="C10" s="11" t="s">
        <v>109</v>
      </c>
      <c r="D10" s="11" t="s">
        <v>110</v>
      </c>
      <c r="E10" s="13">
        <v>6500</v>
      </c>
      <c r="F10" s="11">
        <v>30</v>
      </c>
      <c r="G10" s="11" t="s">
        <v>49</v>
      </c>
      <c r="H10" s="11" t="s">
        <v>78</v>
      </c>
    </row>
    <row r="11" spans="1:11" x14ac:dyDescent="0.35">
      <c r="A11" s="10" t="s">
        <v>62</v>
      </c>
      <c r="B11" s="10" t="s">
        <v>111</v>
      </c>
      <c r="C11" s="10" t="s">
        <v>102</v>
      </c>
      <c r="D11" s="10" t="s">
        <v>95</v>
      </c>
      <c r="E11" s="12">
        <v>5000</v>
      </c>
      <c r="F11" s="10">
        <v>22</v>
      </c>
      <c r="G11" s="10" t="s">
        <v>38</v>
      </c>
      <c r="H11" s="10" t="s">
        <v>78</v>
      </c>
    </row>
  </sheetData>
  <autoFilter ref="A4:H11" xr:uid="{00000000-0009-0000-0000-000005000000}"/>
  <mergeCells count="2">
    <mergeCell ref="A2:H2"/>
    <mergeCell ref="A1:H1"/>
  </mergeCells>
  <hyperlinks>
    <hyperlink ref="K1" location="'ACCUEIL'!A1" display="← ACCUEIL" xr:uid="{00000000-0004-0000-0500-000000000000}"/>
  </hyperlinks>
  <pageMargins left="0.25" right="0.2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10"/>
  <sheetViews>
    <sheetView showGridLines="0" zoomScale="90" workbookViewId="0">
      <pane ySplit="4" topLeftCell="A5" activePane="bottomLeft" state="frozen"/>
      <selection pane="bottomLeft" activeCell="C15" sqref="C15"/>
    </sheetView>
  </sheetViews>
  <sheetFormatPr baseColWidth="10" defaultColWidth="8.7265625" defaultRowHeight="14.5" x14ac:dyDescent="0.35"/>
  <cols>
    <col min="1" max="1" width="18" customWidth="1"/>
    <col min="2" max="2" width="16" customWidth="1"/>
    <col min="3" max="3" width="18" customWidth="1"/>
    <col min="4" max="4" width="20" customWidth="1"/>
    <col min="5" max="5" width="14" customWidth="1"/>
    <col min="6" max="6" width="30" customWidth="1"/>
    <col min="7" max="7" width="22" customWidth="1"/>
    <col min="11" max="11" width="16" customWidth="1"/>
  </cols>
  <sheetData>
    <row r="1" spans="1:11" ht="36" customHeight="1" x14ac:dyDescent="0.35">
      <c r="A1" s="25" t="s">
        <v>112</v>
      </c>
      <c r="B1" s="15"/>
      <c r="C1" s="15"/>
      <c r="D1" s="15"/>
      <c r="E1" s="15"/>
      <c r="F1" s="15"/>
      <c r="G1" s="15"/>
      <c r="K1" s="1" t="s">
        <v>11</v>
      </c>
    </row>
    <row r="2" spans="1:11" ht="23" customHeight="1" x14ac:dyDescent="0.35">
      <c r="A2" s="34"/>
      <c r="B2" s="15"/>
      <c r="C2" s="15"/>
      <c r="D2" s="15"/>
      <c r="E2" s="15"/>
      <c r="F2" s="15"/>
      <c r="G2" s="15"/>
    </row>
    <row r="4" spans="1:11" ht="32" customHeight="1" x14ac:dyDescent="0.35">
      <c r="A4" s="3" t="s">
        <v>113</v>
      </c>
      <c r="B4" s="3" t="s">
        <v>114</v>
      </c>
      <c r="C4" s="3" t="s">
        <v>57</v>
      </c>
      <c r="D4" s="3" t="s">
        <v>115</v>
      </c>
      <c r="E4" s="3" t="s">
        <v>58</v>
      </c>
      <c r="F4" s="3" t="s">
        <v>116</v>
      </c>
      <c r="G4" s="3" t="s">
        <v>117</v>
      </c>
    </row>
    <row r="5" spans="1:11" x14ac:dyDescent="0.35">
      <c r="A5" s="4" t="s">
        <v>118</v>
      </c>
      <c r="B5" s="4" t="s">
        <v>36</v>
      </c>
      <c r="C5" s="4" t="s">
        <v>61</v>
      </c>
      <c r="D5" s="4" t="s">
        <v>119</v>
      </c>
      <c r="E5" s="4">
        <v>5</v>
      </c>
      <c r="F5" s="4" t="s">
        <v>120</v>
      </c>
      <c r="G5" s="4" t="s">
        <v>39</v>
      </c>
    </row>
    <row r="6" spans="1:11" x14ac:dyDescent="0.35">
      <c r="A6" s="6" t="s">
        <v>121</v>
      </c>
      <c r="B6" s="6" t="s">
        <v>36</v>
      </c>
      <c r="C6" s="6" t="s">
        <v>61</v>
      </c>
      <c r="D6" s="6" t="s">
        <v>122</v>
      </c>
      <c r="E6" s="6">
        <v>2</v>
      </c>
      <c r="F6" s="6" t="s">
        <v>35</v>
      </c>
      <c r="G6" s="6" t="s">
        <v>39</v>
      </c>
    </row>
    <row r="7" spans="1:11" x14ac:dyDescent="0.35">
      <c r="A7" s="4" t="s">
        <v>123</v>
      </c>
      <c r="B7" s="4" t="s">
        <v>36</v>
      </c>
      <c r="C7" s="4" t="s">
        <v>62</v>
      </c>
      <c r="D7" s="4" t="s">
        <v>119</v>
      </c>
      <c r="E7" s="4">
        <v>30</v>
      </c>
      <c r="F7" s="4" t="s">
        <v>120</v>
      </c>
      <c r="G7" s="4" t="s">
        <v>39</v>
      </c>
    </row>
    <row r="8" spans="1:11" x14ac:dyDescent="0.35">
      <c r="A8" s="6" t="s">
        <v>124</v>
      </c>
      <c r="B8" s="6" t="s">
        <v>125</v>
      </c>
      <c r="C8" s="6" t="s">
        <v>62</v>
      </c>
      <c r="D8" s="6" t="s">
        <v>122</v>
      </c>
      <c r="E8" s="6">
        <v>5</v>
      </c>
      <c r="F8" s="6" t="s">
        <v>35</v>
      </c>
      <c r="G8" s="6" t="s">
        <v>39</v>
      </c>
    </row>
    <row r="9" spans="1:11" x14ac:dyDescent="0.35">
      <c r="A9" s="4" t="s">
        <v>126</v>
      </c>
      <c r="B9" s="4" t="s">
        <v>42</v>
      </c>
      <c r="C9" s="4" t="s">
        <v>63</v>
      </c>
      <c r="D9" s="4" t="s">
        <v>119</v>
      </c>
      <c r="E9" s="4">
        <v>50</v>
      </c>
      <c r="F9" s="4" t="s">
        <v>127</v>
      </c>
      <c r="G9" s="4" t="s">
        <v>39</v>
      </c>
    </row>
    <row r="10" spans="1:11" x14ac:dyDescent="0.35">
      <c r="A10" s="6" t="s">
        <v>128</v>
      </c>
      <c r="B10" s="6" t="s">
        <v>42</v>
      </c>
      <c r="C10" s="6" t="s">
        <v>64</v>
      </c>
      <c r="D10" s="6" t="s">
        <v>119</v>
      </c>
      <c r="E10" s="6">
        <v>150</v>
      </c>
      <c r="F10" s="6" t="s">
        <v>127</v>
      </c>
      <c r="G10" s="6" t="s">
        <v>39</v>
      </c>
    </row>
  </sheetData>
  <autoFilter ref="A4:G10" xr:uid="{00000000-0009-0000-0000-000006000000}"/>
  <mergeCells count="2">
    <mergeCell ref="A2:G2"/>
    <mergeCell ref="A1:G1"/>
  </mergeCells>
  <dataValidations count="1">
    <dataValidation type="list" allowBlank="1" sqref="D5:D500" xr:uid="{00000000-0002-0000-0600-000000000000}">
      <formula1>"Entrée,Sortie"</formula1>
    </dataValidation>
  </dataValidations>
  <hyperlinks>
    <hyperlink ref="K1" location="'ACCUEIL'!A1" display="← ACCUEIL" xr:uid="{00000000-0004-0000-0600-000000000000}"/>
  </hyperlinks>
  <pageMargins left="0.25" right="0.2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7"/>
  <sheetViews>
    <sheetView showGridLines="0" zoomScale="90" workbookViewId="0">
      <pane ySplit="4" topLeftCell="A5" activePane="bottomLeft" state="frozen"/>
      <selection pane="bottomLeft" activeCell="D13" sqref="D13"/>
    </sheetView>
  </sheetViews>
  <sheetFormatPr baseColWidth="10" defaultColWidth="8.7265625" defaultRowHeight="14.5" x14ac:dyDescent="0.35"/>
  <cols>
    <col min="1" max="1" width="18" customWidth="1"/>
    <col min="2" max="2" width="20" customWidth="1"/>
    <col min="3" max="3" width="22" customWidth="1"/>
    <col min="4" max="4" width="30" customWidth="1"/>
    <col min="5" max="5" width="20" customWidth="1"/>
    <col min="6" max="6" width="25" customWidth="1"/>
    <col min="7" max="7" width="42" customWidth="1"/>
    <col min="11" max="11" width="16" customWidth="1"/>
  </cols>
  <sheetData>
    <row r="1" spans="1:11" ht="36" customHeight="1" x14ac:dyDescent="0.35">
      <c r="A1" s="25" t="s">
        <v>129</v>
      </c>
      <c r="B1" s="15"/>
      <c r="C1" s="15"/>
      <c r="D1" s="15"/>
      <c r="E1" s="15"/>
      <c r="F1" s="15"/>
      <c r="G1" s="15"/>
      <c r="K1" s="1" t="s">
        <v>11</v>
      </c>
    </row>
    <row r="2" spans="1:11" ht="23" customHeight="1" x14ac:dyDescent="0.35">
      <c r="A2" s="34"/>
      <c r="B2" s="15"/>
      <c r="C2" s="15"/>
      <c r="D2" s="15"/>
      <c r="E2" s="15"/>
      <c r="F2" s="15"/>
      <c r="G2" s="15"/>
    </row>
    <row r="4" spans="1:11" ht="32" customHeight="1" x14ac:dyDescent="0.35">
      <c r="A4" s="3" t="s">
        <v>130</v>
      </c>
      <c r="B4" s="3" t="s">
        <v>29</v>
      </c>
      <c r="C4" s="3" t="s">
        <v>131</v>
      </c>
      <c r="D4" s="3" t="s">
        <v>132</v>
      </c>
      <c r="E4" s="3" t="s">
        <v>133</v>
      </c>
      <c r="F4" s="3" t="s">
        <v>134</v>
      </c>
      <c r="G4" s="3" t="s">
        <v>135</v>
      </c>
    </row>
    <row r="5" spans="1:11" x14ac:dyDescent="0.35">
      <c r="A5" s="4" t="s">
        <v>136</v>
      </c>
      <c r="B5" s="4" t="s">
        <v>35</v>
      </c>
      <c r="C5" s="4" t="s">
        <v>137</v>
      </c>
      <c r="D5" s="4" t="s">
        <v>79</v>
      </c>
      <c r="E5" s="4" t="s">
        <v>138</v>
      </c>
      <c r="F5" s="4">
        <v>1</v>
      </c>
      <c r="G5" s="4" t="s">
        <v>139</v>
      </c>
    </row>
    <row r="6" spans="1:11" x14ac:dyDescent="0.35">
      <c r="A6" s="6" t="s">
        <v>140</v>
      </c>
      <c r="B6" s="6" t="s">
        <v>41</v>
      </c>
      <c r="C6" s="6" t="s">
        <v>141</v>
      </c>
      <c r="D6" s="6" t="s">
        <v>88</v>
      </c>
      <c r="E6" s="6" t="s">
        <v>142</v>
      </c>
      <c r="F6" s="6">
        <v>1</v>
      </c>
      <c r="G6" s="6" t="s">
        <v>143</v>
      </c>
    </row>
    <row r="7" spans="1:11" x14ac:dyDescent="0.35">
      <c r="A7" s="4" t="s">
        <v>144</v>
      </c>
      <c r="B7" s="4" t="s">
        <v>51</v>
      </c>
      <c r="C7" s="4" t="s">
        <v>145</v>
      </c>
      <c r="D7" s="4" t="s">
        <v>83</v>
      </c>
      <c r="E7" s="4" t="s">
        <v>146</v>
      </c>
      <c r="F7" s="4">
        <v>0</v>
      </c>
      <c r="G7" s="4" t="s">
        <v>147</v>
      </c>
    </row>
  </sheetData>
  <autoFilter ref="A4:G7" xr:uid="{00000000-0009-0000-0000-000007000000}"/>
  <mergeCells count="2">
    <mergeCell ref="A2:G2"/>
    <mergeCell ref="A1:G1"/>
  </mergeCells>
  <dataValidations count="1">
    <dataValidation type="list" allowBlank="1" sqref="E5:E500" xr:uid="{00000000-0002-0000-0700-000000000000}">
      <formula1>"Prévue,Partielle,Complète,Retardée,Annulée"</formula1>
    </dataValidation>
  </dataValidations>
  <hyperlinks>
    <hyperlink ref="K1" location="'ACCUEIL'!A1" display="← ACCUEIL" xr:uid="{00000000-0004-0000-0700-000000000000}"/>
  </hyperlinks>
  <pageMargins left="0.25" right="0.2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19"/>
  <sheetViews>
    <sheetView showGridLines="0" zoomScale="90" workbookViewId="0">
      <pane ySplit="4" topLeftCell="A5" activePane="bottomLeft" state="frozen"/>
      <selection pane="bottomLeft" activeCell="K1" sqref="K1"/>
    </sheetView>
  </sheetViews>
  <sheetFormatPr baseColWidth="10" defaultColWidth="8.7265625" defaultRowHeight="14.5" x14ac:dyDescent="0.35"/>
  <cols>
    <col min="1" max="1" width="24" customWidth="1"/>
    <col min="2" max="2" width="22" customWidth="1"/>
    <col min="3" max="3" width="42" customWidth="1"/>
    <col min="11" max="11" width="16" customWidth="1"/>
  </cols>
  <sheetData>
    <row r="1" spans="1:11" ht="36" customHeight="1" x14ac:dyDescent="0.35">
      <c r="A1" s="25" t="s">
        <v>148</v>
      </c>
      <c r="B1" s="15"/>
      <c r="C1" s="15"/>
      <c r="K1" s="1" t="s">
        <v>11</v>
      </c>
    </row>
    <row r="2" spans="1:11" ht="23" customHeight="1" x14ac:dyDescent="0.35">
      <c r="A2" s="34"/>
      <c r="B2" s="15"/>
      <c r="C2" s="15"/>
    </row>
    <row r="4" spans="1:11" ht="32" customHeight="1" x14ac:dyDescent="0.35">
      <c r="A4" s="3" t="s">
        <v>149</v>
      </c>
      <c r="B4" s="3" t="s">
        <v>150</v>
      </c>
      <c r="C4" s="3" t="s">
        <v>151</v>
      </c>
    </row>
    <row r="5" spans="1:11" x14ac:dyDescent="0.35">
      <c r="A5" s="10" t="s">
        <v>152</v>
      </c>
      <c r="B5" s="10" t="s">
        <v>20</v>
      </c>
      <c r="C5" s="10" t="s">
        <v>153</v>
      </c>
    </row>
    <row r="6" spans="1:11" x14ac:dyDescent="0.35">
      <c r="A6" s="11" t="s">
        <v>152</v>
      </c>
      <c r="B6" s="11" t="s">
        <v>22</v>
      </c>
      <c r="C6" s="11" t="s">
        <v>154</v>
      </c>
    </row>
    <row r="7" spans="1:11" x14ac:dyDescent="0.35">
      <c r="A7" s="10" t="s">
        <v>152</v>
      </c>
      <c r="B7" s="10" t="s">
        <v>24</v>
      </c>
      <c r="C7" s="10" t="s">
        <v>155</v>
      </c>
    </row>
    <row r="8" spans="1:11" x14ac:dyDescent="0.35">
      <c r="A8" s="11" t="s">
        <v>152</v>
      </c>
      <c r="B8" s="11" t="s">
        <v>26</v>
      </c>
      <c r="C8" s="11" t="s">
        <v>156</v>
      </c>
    </row>
    <row r="9" spans="1:11" x14ac:dyDescent="0.35">
      <c r="A9" s="10" t="s">
        <v>19</v>
      </c>
      <c r="B9" s="10" t="s">
        <v>21</v>
      </c>
      <c r="C9" s="10" t="s">
        <v>157</v>
      </c>
    </row>
    <row r="10" spans="1:11" x14ac:dyDescent="0.35">
      <c r="A10" s="11" t="s">
        <v>19</v>
      </c>
      <c r="B10" s="11" t="s">
        <v>23</v>
      </c>
      <c r="C10" s="11" t="s">
        <v>157</v>
      </c>
    </row>
    <row r="11" spans="1:11" x14ac:dyDescent="0.35">
      <c r="A11" s="10" t="s">
        <v>19</v>
      </c>
      <c r="B11" s="10" t="s">
        <v>25</v>
      </c>
      <c r="C11" s="10" t="s">
        <v>158</v>
      </c>
    </row>
    <row r="12" spans="1:11" x14ac:dyDescent="0.35">
      <c r="A12" s="11" t="s">
        <v>19</v>
      </c>
      <c r="B12" s="11" t="s">
        <v>27</v>
      </c>
      <c r="C12" s="11" t="s">
        <v>159</v>
      </c>
    </row>
    <row r="13" spans="1:11" x14ac:dyDescent="0.35">
      <c r="A13" s="10" t="s">
        <v>160</v>
      </c>
      <c r="B13" s="10" t="s">
        <v>119</v>
      </c>
      <c r="C13" s="10" t="s">
        <v>161</v>
      </c>
    </row>
    <row r="14" spans="1:11" x14ac:dyDescent="0.35">
      <c r="A14" s="11" t="s">
        <v>160</v>
      </c>
      <c r="B14" s="11" t="s">
        <v>122</v>
      </c>
      <c r="C14" s="11" t="s">
        <v>162</v>
      </c>
    </row>
    <row r="15" spans="1:11" x14ac:dyDescent="0.35">
      <c r="A15" s="10" t="s">
        <v>163</v>
      </c>
      <c r="B15" s="10" t="s">
        <v>146</v>
      </c>
      <c r="C15" s="10" t="s">
        <v>164</v>
      </c>
    </row>
    <row r="16" spans="1:11" x14ac:dyDescent="0.35">
      <c r="A16" s="11" t="s">
        <v>163</v>
      </c>
      <c r="B16" s="11" t="s">
        <v>138</v>
      </c>
      <c r="C16" s="11" t="s">
        <v>165</v>
      </c>
    </row>
    <row r="17" spans="1:3" x14ac:dyDescent="0.35">
      <c r="A17" s="10" t="s">
        <v>163</v>
      </c>
      <c r="B17" s="10" t="s">
        <v>142</v>
      </c>
      <c r="C17" s="10" t="s">
        <v>155</v>
      </c>
    </row>
    <row r="18" spans="1:3" x14ac:dyDescent="0.35">
      <c r="A18" s="11" t="s">
        <v>163</v>
      </c>
      <c r="B18" s="11" t="s">
        <v>166</v>
      </c>
      <c r="C18" s="11" t="s">
        <v>167</v>
      </c>
    </row>
    <row r="19" spans="1:3" x14ac:dyDescent="0.35">
      <c r="A19" s="10" t="s">
        <v>163</v>
      </c>
      <c r="B19" s="10" t="s">
        <v>26</v>
      </c>
      <c r="C19" s="10" t="s">
        <v>168</v>
      </c>
    </row>
  </sheetData>
  <autoFilter ref="A4:C19" xr:uid="{00000000-0009-0000-0000-000008000000}"/>
  <mergeCells count="2">
    <mergeCell ref="A1:C1"/>
    <mergeCell ref="A2:C2"/>
  </mergeCells>
  <hyperlinks>
    <hyperlink ref="K1" location="'ACCUEIL'!A1" display="← ACCUEIL" xr:uid="{00000000-0004-0000-0800-000000000000}"/>
  </hyperlinks>
  <pageMargins left="0.25" right="0.2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ACCUEIL</vt:lpstr>
      <vt:lpstr>DASHBOARD</vt:lpstr>
      <vt:lpstr>COMMANDES</vt:lpstr>
      <vt:lpstr>DETAILS_COMMANDES</vt:lpstr>
      <vt:lpstr>FOURNISSEURS</vt:lpstr>
      <vt:lpstr>ARTICLES</vt:lpstr>
      <vt:lpstr>MOUVEMENTS_STOCK</vt:lpstr>
      <vt:lpstr>LIVRAISONS</vt:lpstr>
      <vt:lpstr>PARAMETRES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 Mahamat</cp:lastModifiedBy>
  <dcterms:created xsi:type="dcterms:W3CDTF">2026-10-03T17:54:34Z</dcterms:created>
  <dcterms:modified xsi:type="dcterms:W3CDTF">2026-10-03T18:13:53Z</dcterms:modified>
</cp:coreProperties>
</file>